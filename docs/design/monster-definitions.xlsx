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\Pretty_Knights\docs\design\"/>
    </mc:Choice>
  </mc:AlternateContent>
  <xr:revisionPtr revIDLastSave="0" documentId="13_ncr:1_{BEBE9966-9A43-4557-988C-1A0B2FA358E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기준" sheetId="1" r:id="rId1"/>
    <sheet name="몬스터 정의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2" l="1"/>
  <c r="T7" i="2"/>
  <c r="U7" i="2" s="1"/>
  <c r="L7" i="2"/>
  <c r="V15" i="2"/>
  <c r="T15" i="2"/>
  <c r="U15" i="2" s="1"/>
  <c r="L15" i="2"/>
  <c r="V14" i="2"/>
  <c r="T14" i="2"/>
  <c r="U14" i="2" s="1"/>
  <c r="L14" i="2"/>
  <c r="V13" i="2"/>
  <c r="T13" i="2"/>
  <c r="U13" i="2" s="1"/>
  <c r="L13" i="2"/>
  <c r="V12" i="2"/>
  <c r="T12" i="2"/>
  <c r="U12" i="2" s="1"/>
  <c r="L12" i="2"/>
  <c r="V11" i="2"/>
  <c r="T11" i="2"/>
  <c r="U11" i="2" s="1"/>
  <c r="L11" i="2"/>
  <c r="V10" i="2"/>
  <c r="T10" i="2"/>
  <c r="U10" i="2" s="1"/>
  <c r="L10" i="2"/>
  <c r="V9" i="2"/>
  <c r="T9" i="2"/>
  <c r="U9" i="2" s="1"/>
  <c r="L9" i="2"/>
  <c r="V8" i="2"/>
  <c r="T8" i="2"/>
  <c r="U8" i="2" s="1"/>
  <c r="L8" i="2"/>
  <c r="V6" i="2"/>
  <c r="T6" i="2"/>
  <c r="U6" i="2" s="1"/>
  <c r="L6" i="2"/>
</calcChain>
</file>

<file path=xl/sharedStrings.xml><?xml version="1.0" encoding="utf-8"?>
<sst xmlns="http://schemas.openxmlformats.org/spreadsheetml/2006/main" count="109" uniqueCount="88">
  <si>
    <t>플레이어 기준값</t>
  </si>
  <si>
    <t>PlayerStatsDefinition 의 기본값에서 가져온 것. 여기를 고치면 몬스터 시트의 검증 열이 따라 바뀐다.</t>
  </si>
  <si>
    <t>항목</t>
  </si>
  <si>
    <t>값</t>
  </si>
  <si>
    <t>출처</t>
  </si>
  <si>
    <t>Lv1 최대 HP</t>
  </si>
  <si>
    <t>Vitality 20 × HpPerVitality 5</t>
  </si>
  <si>
    <t>걷기 속도</t>
  </si>
  <si>
    <t>PlayerStatsDefinition.walkSpeed</t>
  </si>
  <si>
    <t>달리기 속도</t>
  </si>
  <si>
    <t>walkSpeed × runSpeedMultiplier 1.6</t>
  </si>
  <si>
    <t>Lv1→2 필요 경험치</t>
  </si>
  <si>
    <t>25 × 1^1.6</t>
  </si>
  <si>
    <t>Lv2→3 필요 경험치</t>
  </si>
  <si>
    <t>25 × 2^1.6</t>
  </si>
  <si>
    <t>Lv3→4 필요 경험치</t>
  </si>
  <si>
    <t>25 × 3^1.6</t>
  </si>
  <si>
    <t>파란 글씨 = 직접 입력하는 값 · 회색 칸 = 수식(고치지 말 것) · 노란 칸 = 밸런싱 핵심</t>
  </si>
  <si>
    <t>데미지 공식이 아직 없어 몬스터 Attack 이 곧 플레이어 HP 감소량이다 (Defense 미적용).</t>
  </si>
  <si>
    <t>몬스터 ID</t>
  </si>
  <si>
    <t>표시명</t>
  </si>
  <si>
    <t>테마</t>
  </si>
  <si>
    <t>층</t>
  </si>
  <si>
    <t>Tier</t>
  </si>
  <si>
    <t>VIT</t>
  </si>
  <si>
    <t>ATK</t>
  </si>
  <si>
    <t>DEF</t>
  </si>
  <si>
    <t>AGI</t>
  </si>
  <si>
    <t>FOC</t>
  </si>
  <si>
    <t>HP/VIT</t>
  </si>
  <si>
    <t>최대 HP</t>
  </si>
  <si>
    <t>이동속도</t>
  </si>
  <si>
    <t>감지범위</t>
  </si>
  <si>
    <t>공격범위</t>
  </si>
  <si>
    <t>공격쿨</t>
  </si>
  <si>
    <t>넉백</t>
  </si>
  <si>
    <t>경직</t>
  </si>
  <si>
    <t>경험치</t>
  </si>
  <si>
    <t>사망 타격수</t>
  </si>
  <si>
    <t>사망까지 초</t>
  </si>
  <si>
    <t>Lv2까지 처치</t>
  </si>
  <si>
    <t>비고</t>
  </si>
  <si>
    <t>Goblin</t>
  </si>
  <si>
    <t>1F</t>
  </si>
  <si>
    <t>Normal</t>
  </si>
  <si>
    <t>가장 약하다. 25대 맞아야 죽는다</t>
  </si>
  <si>
    <t>2F</t>
  </si>
  <si>
    <t>파밍 기준선</t>
  </si>
  <si>
    <t>3F</t>
  </si>
  <si>
    <t>Boss</t>
  </si>
  <si>
    <t>감지 20 = 아레나 전체</t>
  </si>
  <si>
    <t>orc_brute</t>
  </si>
  <si>
    <t>Orc Brute</t>
  </si>
  <si>
    <t>Orc</t>
  </si>
  <si>
    <t>느리고 쿨이 길다. 한 방이 무겁다</t>
  </si>
  <si>
    <t>orc_warrior</t>
  </si>
  <si>
    <t>Elite</t>
  </si>
  <si>
    <t>수가 적은 대신 강하다</t>
  </si>
  <si>
    <t>orc_warlord</t>
  </si>
  <si>
    <t>Orc Warlord</t>
  </si>
  <si>
    <t>최대 물리 화력</t>
  </si>
  <si>
    <t>vampire_bat</t>
  </si>
  <si>
    <t>Vampire Bat</t>
  </si>
  <si>
    <t>Vampire</t>
  </si>
  <si>
    <t>걷기(2.5)보다 빠르다. 걸어선 못 도망친다</t>
  </si>
  <si>
    <t>공격범위 3.5 = 원거리</t>
  </si>
  <si>
    <t>vampire_lord</t>
  </si>
  <si>
    <t>Vampire Lord</t>
  </si>
  <si>
    <t>거의 안 걷는다. 순간이동으로 붙는다</t>
  </si>
  <si>
    <t>검증 열 읽는 법</t>
  </si>
  <si>
    <t>사망 타격수  = 플레이어 Lv1 HP ÷ 몬스터 ATK. 몇 대 맞으면 죽는가</t>
  </si>
  <si>
    <t>사망까지 초  = 사망 타격수 × 공격쿨. 계속 붙어 있을 때의 생존 시간</t>
  </si>
  <si>
    <t>Lv2까지 처치 = Lv1→2 필요 경험치 ÷ 몬스터 경험치</t>
  </si>
  <si>
    <t>몬스터 HP(최대 HP)는 아직 근거가 약하다. 플레이어 공격이 없어 처치 시간을 계산할 수 없다.</t>
  </si>
  <si>
    <t>스킬 판정이 붙은 뒤 실제 DPS 로 다시 잡아야 한다. 나머지 값은 지금도 검증 가능하다.</t>
  </si>
  <si>
    <r>
      <t xml:space="preserve">MonsterDefinition </t>
    </r>
    <r>
      <rPr>
        <b/>
        <sz val="13"/>
        <rFont val="맑은 고딕"/>
        <family val="3"/>
        <charset val="129"/>
      </rPr>
      <t>임시값</t>
    </r>
    <phoneticPr fontId="7" type="noConversion"/>
  </si>
  <si>
    <t>Goblin King</t>
    <phoneticPr fontId="7" type="noConversion"/>
  </si>
  <si>
    <t>Hobgoblin</t>
    <phoneticPr fontId="7" type="noConversion"/>
  </si>
  <si>
    <t>goblin_king</t>
    <phoneticPr fontId="7" type="noConversion"/>
  </si>
  <si>
    <t>goblin_hob</t>
    <phoneticPr fontId="7" type="noConversion"/>
  </si>
  <si>
    <t>Goblin Shaman</t>
    <phoneticPr fontId="7" type="noConversion"/>
  </si>
  <si>
    <t>goblin_shaman</t>
    <phoneticPr fontId="7" type="noConversion"/>
  </si>
  <si>
    <t>goblin_rider</t>
    <phoneticPr fontId="7" type="noConversion"/>
  </si>
  <si>
    <t>Goblin Rider</t>
    <phoneticPr fontId="7" type="noConversion"/>
  </si>
  <si>
    <t>Orc Warrior</t>
    <phoneticPr fontId="7" type="noConversion"/>
  </si>
  <si>
    <t>vampire_noble</t>
    <phoneticPr fontId="7" type="noConversion"/>
  </si>
  <si>
    <t>Vampire Noble</t>
    <phoneticPr fontId="7" type="noConversion"/>
  </si>
  <si>
    <t>Elite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</si>
</sst>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3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  <font>
      <sz val="8"/>
      <name val="맑은 고딕"/>
      <family val="3"/>
      <charset val="129"/>
      <scheme val="minor"/>
    </font>
    <font>
      <b/>
      <sz val="13"/>
      <name val="맑은 고딕"/>
      <family val="3"/>
      <charset val="129"/>
    </font>
    <font>
      <b/>
      <sz val="13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3" borderId="1" xfId="0" applyFont="1" applyFill="1" applyBorder="1"/>
    <xf numFmtId="0" fontId="2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6" fillId="0" borderId="0" xfId="0" applyFont="1"/>
    <xf numFmtId="0" fontId="9" fillId="0" borderId="0" xfId="0" applyFont="1"/>
    <xf numFmtId="0" fontId="10" fillId="0" borderId="1" xfId="0" applyFont="1" applyBorder="1"/>
    <xf numFmtId="0" fontId="10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/>
  </sheetViews>
  <sheetFormatPr defaultRowHeight="16.5" x14ac:dyDescent="0.3"/>
  <cols>
    <col min="1" max="1" width="22" customWidth="1"/>
    <col min="2" max="2" width="10" customWidth="1"/>
    <col min="3" max="3" width="42" customWidth="1"/>
  </cols>
  <sheetData>
    <row r="1" spans="1:3" ht="17.25" x14ac:dyDescent="0.3">
      <c r="A1" s="1" t="s">
        <v>0</v>
      </c>
    </row>
    <row r="2" spans="1:3" x14ac:dyDescent="0.3">
      <c r="A2" s="2" t="s">
        <v>1</v>
      </c>
    </row>
    <row r="4" spans="1:3" x14ac:dyDescent="0.3">
      <c r="A4" s="3" t="s">
        <v>2</v>
      </c>
      <c r="B4" s="3" t="s">
        <v>3</v>
      </c>
      <c r="C4" s="3" t="s">
        <v>4</v>
      </c>
    </row>
    <row r="5" spans="1:3" x14ac:dyDescent="0.3">
      <c r="A5" s="4" t="s">
        <v>5</v>
      </c>
      <c r="B5" s="5">
        <v>100</v>
      </c>
      <c r="C5" s="6" t="s">
        <v>6</v>
      </c>
    </row>
    <row r="6" spans="1:3" x14ac:dyDescent="0.3">
      <c r="A6" s="4" t="s">
        <v>7</v>
      </c>
      <c r="B6" s="5">
        <v>2.5</v>
      </c>
      <c r="C6" s="6" t="s">
        <v>8</v>
      </c>
    </row>
    <row r="7" spans="1:3" x14ac:dyDescent="0.3">
      <c r="A7" s="4" t="s">
        <v>9</v>
      </c>
      <c r="B7" s="5">
        <v>4</v>
      </c>
      <c r="C7" s="6" t="s">
        <v>10</v>
      </c>
    </row>
    <row r="8" spans="1:3" x14ac:dyDescent="0.3">
      <c r="A8" s="4" t="s">
        <v>11</v>
      </c>
      <c r="B8" s="5">
        <v>25</v>
      </c>
      <c r="C8" s="6" t="s">
        <v>12</v>
      </c>
    </row>
    <row r="9" spans="1:3" x14ac:dyDescent="0.3">
      <c r="A9" s="4" t="s">
        <v>13</v>
      </c>
      <c r="B9" s="5">
        <v>76</v>
      </c>
      <c r="C9" s="6" t="s">
        <v>14</v>
      </c>
    </row>
    <row r="10" spans="1:3" x14ac:dyDescent="0.3">
      <c r="A10" s="4" t="s">
        <v>15</v>
      </c>
      <c r="B10" s="5">
        <v>145</v>
      </c>
      <c r="C10" s="6" t="s">
        <v>16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2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A6" sqref="A6"/>
    </sheetView>
  </sheetViews>
  <sheetFormatPr defaultRowHeight="16.5" x14ac:dyDescent="0.3"/>
  <cols>
    <col min="1" max="1" width="18" customWidth="1"/>
    <col min="2" max="2" width="16" customWidth="1"/>
    <col min="3" max="3" width="9" customWidth="1"/>
    <col min="4" max="4" width="6" customWidth="1"/>
    <col min="5" max="5" width="8" customWidth="1"/>
    <col min="6" max="10" width="6" customWidth="1"/>
    <col min="11" max="11" width="8" customWidth="1"/>
    <col min="12" max="15" width="9" customWidth="1"/>
    <col min="16" max="16" width="8" customWidth="1"/>
    <col min="17" max="18" width="7" customWidth="1"/>
    <col min="19" max="19" width="8" customWidth="1"/>
    <col min="20" max="21" width="11" customWidth="1"/>
    <col min="22" max="22" width="12" customWidth="1"/>
    <col min="23" max="23" width="34" customWidth="1"/>
  </cols>
  <sheetData>
    <row r="1" spans="1:23" ht="19.5" x14ac:dyDescent="0.35">
      <c r="A1" s="12" t="s">
        <v>75</v>
      </c>
    </row>
    <row r="2" spans="1:23" x14ac:dyDescent="0.3">
      <c r="A2" s="2" t="s">
        <v>17</v>
      </c>
    </row>
    <row r="3" spans="1:23" x14ac:dyDescent="0.3">
      <c r="A3" s="2" t="s">
        <v>18</v>
      </c>
    </row>
    <row r="5" spans="1:23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33</v>
      </c>
      <c r="P5" s="3" t="s">
        <v>34</v>
      </c>
      <c r="Q5" s="3" t="s">
        <v>35</v>
      </c>
      <c r="R5" s="3" t="s">
        <v>36</v>
      </c>
      <c r="S5" s="3" t="s">
        <v>37</v>
      </c>
      <c r="T5" s="3" t="s">
        <v>38</v>
      </c>
      <c r="U5" s="3" t="s">
        <v>39</v>
      </c>
      <c r="V5" s="3" t="s">
        <v>40</v>
      </c>
      <c r="W5" s="3" t="s">
        <v>41</v>
      </c>
    </row>
    <row r="6" spans="1:23" x14ac:dyDescent="0.3">
      <c r="A6" s="13" t="s">
        <v>79</v>
      </c>
      <c r="B6" s="13" t="s">
        <v>77</v>
      </c>
      <c r="C6" s="8" t="s">
        <v>42</v>
      </c>
      <c r="D6" s="8" t="s">
        <v>43</v>
      </c>
      <c r="E6" s="8" t="s">
        <v>44</v>
      </c>
      <c r="F6" s="7">
        <v>10</v>
      </c>
      <c r="G6" s="5">
        <v>10</v>
      </c>
      <c r="H6" s="7">
        <v>8</v>
      </c>
      <c r="I6" s="7">
        <v>6</v>
      </c>
      <c r="J6" s="7">
        <v>0</v>
      </c>
      <c r="K6" s="7">
        <v>10</v>
      </c>
      <c r="L6" s="9">
        <f t="shared" ref="L6" si="0">F6*K6</f>
        <v>100</v>
      </c>
      <c r="M6" s="7">
        <v>2</v>
      </c>
      <c r="N6" s="7">
        <v>5</v>
      </c>
      <c r="O6" s="7">
        <v>1.2</v>
      </c>
      <c r="P6" s="7">
        <v>1.4</v>
      </c>
      <c r="Q6" s="7">
        <v>3</v>
      </c>
      <c r="R6" s="7">
        <v>0.1</v>
      </c>
      <c r="S6" s="5">
        <v>15</v>
      </c>
      <c r="T6" s="10">
        <f>IFERROR(ROUNDUP(기준!$B$5/G6,0),"")</f>
        <v>10</v>
      </c>
      <c r="U6" s="10">
        <f t="shared" ref="U6" si="1">IFERROR(ROUND(T6*P6,1),"")</f>
        <v>14</v>
      </c>
      <c r="V6" s="10">
        <f>IFERROR(ROUNDUP(기준!$B$8/S6,0),"")</f>
        <v>2</v>
      </c>
      <c r="W6" s="6" t="s">
        <v>45</v>
      </c>
    </row>
    <row r="7" spans="1:23" x14ac:dyDescent="0.3">
      <c r="A7" s="13" t="s">
        <v>81</v>
      </c>
      <c r="B7" s="13" t="s">
        <v>80</v>
      </c>
      <c r="C7" s="8" t="s">
        <v>42</v>
      </c>
      <c r="D7" s="8" t="s">
        <v>46</v>
      </c>
      <c r="E7" s="8" t="s">
        <v>56</v>
      </c>
      <c r="F7" s="7">
        <v>15</v>
      </c>
      <c r="G7" s="5">
        <v>20</v>
      </c>
      <c r="H7" s="7">
        <v>5</v>
      </c>
      <c r="I7" s="7">
        <v>6</v>
      </c>
      <c r="J7" s="7">
        <v>0</v>
      </c>
      <c r="K7" s="7">
        <v>8</v>
      </c>
      <c r="L7" s="9">
        <f>F7*K7</f>
        <v>120</v>
      </c>
      <c r="M7" s="7">
        <v>1.5</v>
      </c>
      <c r="N7" s="7">
        <v>15</v>
      </c>
      <c r="O7" s="7">
        <v>3</v>
      </c>
      <c r="P7" s="7">
        <v>1.2</v>
      </c>
      <c r="Q7" s="7">
        <v>3</v>
      </c>
      <c r="R7" s="7">
        <v>0.18</v>
      </c>
      <c r="S7" s="5">
        <v>35</v>
      </c>
      <c r="T7" s="10">
        <f>IFERROR(ROUNDUP(기준!$B$5/G7,0),"")</f>
        <v>5</v>
      </c>
      <c r="U7" s="10">
        <f>IFERROR(ROUND(T7*P7,1),"")</f>
        <v>6</v>
      </c>
      <c r="V7" s="10">
        <f>IFERROR(ROUNDUP(기준!$B$8/S7,0),"")</f>
        <v>1</v>
      </c>
      <c r="W7" s="6" t="s">
        <v>47</v>
      </c>
    </row>
    <row r="8" spans="1:23" x14ac:dyDescent="0.3">
      <c r="A8" s="13" t="s">
        <v>82</v>
      </c>
      <c r="B8" s="13" t="s">
        <v>83</v>
      </c>
      <c r="C8" s="8" t="s">
        <v>42</v>
      </c>
      <c r="D8" s="8" t="s">
        <v>46</v>
      </c>
      <c r="E8" s="8" t="s">
        <v>56</v>
      </c>
      <c r="F8" s="7">
        <v>15</v>
      </c>
      <c r="G8" s="5">
        <v>15</v>
      </c>
      <c r="H8" s="7">
        <v>10</v>
      </c>
      <c r="I8" s="7">
        <v>6</v>
      </c>
      <c r="J8" s="7">
        <v>0</v>
      </c>
      <c r="K8" s="7">
        <v>12</v>
      </c>
      <c r="L8" s="9">
        <f>F8*K8</f>
        <v>180</v>
      </c>
      <c r="M8" s="7">
        <v>2.5</v>
      </c>
      <c r="N8" s="7">
        <v>10</v>
      </c>
      <c r="O8" s="7">
        <v>1.5</v>
      </c>
      <c r="P8" s="7">
        <v>1.2</v>
      </c>
      <c r="Q8" s="7">
        <v>5</v>
      </c>
      <c r="R8" s="7">
        <v>0.1</v>
      </c>
      <c r="S8" s="5">
        <v>35</v>
      </c>
      <c r="T8" s="10">
        <f>IFERROR(ROUNDUP(기준!$B$5/G8,0),"")</f>
        <v>7</v>
      </c>
      <c r="U8" s="10">
        <f>IFERROR(ROUND(T8*P8,1),"")</f>
        <v>8.4</v>
      </c>
      <c r="V8" s="10">
        <f>IFERROR(ROUNDUP(기준!$B$8/S8,0),"")</f>
        <v>1</v>
      </c>
      <c r="W8" s="6" t="s">
        <v>47</v>
      </c>
    </row>
    <row r="9" spans="1:23" x14ac:dyDescent="0.3">
      <c r="A9" s="13" t="s">
        <v>78</v>
      </c>
      <c r="B9" s="13" t="s">
        <v>76</v>
      </c>
      <c r="C9" s="8" t="s">
        <v>42</v>
      </c>
      <c r="D9" s="8" t="s">
        <v>48</v>
      </c>
      <c r="E9" s="8" t="s">
        <v>49</v>
      </c>
      <c r="F9" s="7">
        <v>80</v>
      </c>
      <c r="G9" s="5">
        <v>25</v>
      </c>
      <c r="H9" s="7">
        <v>15</v>
      </c>
      <c r="I9" s="7">
        <v>6</v>
      </c>
      <c r="J9" s="7">
        <v>0</v>
      </c>
      <c r="K9" s="7">
        <v>15</v>
      </c>
      <c r="L9" s="9">
        <f>F9*K9</f>
        <v>1200</v>
      </c>
      <c r="M9" s="7">
        <v>1.8</v>
      </c>
      <c r="N9" s="7">
        <v>20</v>
      </c>
      <c r="O9" s="7">
        <v>2.5</v>
      </c>
      <c r="P9" s="7">
        <v>1.6</v>
      </c>
      <c r="Q9" s="7">
        <v>10</v>
      </c>
      <c r="R9" s="7">
        <v>0.2</v>
      </c>
      <c r="S9" s="5">
        <v>200</v>
      </c>
      <c r="T9" s="10">
        <f>IFERROR(ROUNDUP(기준!$B$5/G9,0),"")</f>
        <v>4</v>
      </c>
      <c r="U9" s="10">
        <f>IFERROR(ROUND(T9*P9,1),"")</f>
        <v>6.4</v>
      </c>
      <c r="V9" s="10">
        <f>IFERROR(ROUNDUP(기준!$B$8/S9,0),"")</f>
        <v>1</v>
      </c>
      <c r="W9" s="6" t="s">
        <v>50</v>
      </c>
    </row>
    <row r="10" spans="1:23" x14ac:dyDescent="0.3">
      <c r="A10" s="7" t="s">
        <v>51</v>
      </c>
      <c r="B10" s="7" t="s">
        <v>52</v>
      </c>
      <c r="C10" s="8" t="s">
        <v>53</v>
      </c>
      <c r="D10" s="8" t="s">
        <v>43</v>
      </c>
      <c r="E10" s="8" t="s">
        <v>44</v>
      </c>
      <c r="F10" s="7">
        <v>20</v>
      </c>
      <c r="G10" s="5">
        <v>15</v>
      </c>
      <c r="H10" s="7">
        <v>10</v>
      </c>
      <c r="I10" s="7">
        <v>4</v>
      </c>
      <c r="J10" s="7">
        <v>0</v>
      </c>
      <c r="K10" s="7">
        <v>12</v>
      </c>
      <c r="L10" s="9">
        <f>F10*K10</f>
        <v>240</v>
      </c>
      <c r="M10" s="7">
        <v>1.5</v>
      </c>
      <c r="N10" s="7">
        <v>6</v>
      </c>
      <c r="O10" s="7">
        <v>1.8</v>
      </c>
      <c r="P10" s="7">
        <v>1.8</v>
      </c>
      <c r="Q10" s="7">
        <v>6</v>
      </c>
      <c r="R10" s="7">
        <v>0.15</v>
      </c>
      <c r="S10" s="5">
        <v>30</v>
      </c>
      <c r="T10" s="10">
        <f>IFERROR(ROUNDUP(기준!$B$5/G10,0),"")</f>
        <v>7</v>
      </c>
      <c r="U10" s="10">
        <f>IFERROR(ROUND(T10*P10,1),"")</f>
        <v>12.6</v>
      </c>
      <c r="V10" s="10">
        <f>IFERROR(ROUNDUP(기준!$B$8/S10,0),"")</f>
        <v>1</v>
      </c>
      <c r="W10" s="6" t="s">
        <v>54</v>
      </c>
    </row>
    <row r="11" spans="1:23" x14ac:dyDescent="0.3">
      <c r="A11" s="7" t="s">
        <v>55</v>
      </c>
      <c r="B11" s="13" t="s">
        <v>84</v>
      </c>
      <c r="C11" s="8" t="s">
        <v>53</v>
      </c>
      <c r="D11" s="8" t="s">
        <v>46</v>
      </c>
      <c r="E11" s="8" t="s">
        <v>56</v>
      </c>
      <c r="F11" s="7">
        <v>35</v>
      </c>
      <c r="G11" s="5">
        <v>30</v>
      </c>
      <c r="H11" s="7">
        <v>15</v>
      </c>
      <c r="I11" s="7">
        <v>4</v>
      </c>
      <c r="J11" s="7">
        <v>0</v>
      </c>
      <c r="K11" s="7">
        <v>15</v>
      </c>
      <c r="L11" s="9">
        <f>F11*K11</f>
        <v>525</v>
      </c>
      <c r="M11" s="7">
        <v>1.8</v>
      </c>
      <c r="N11" s="7">
        <v>8</v>
      </c>
      <c r="O11" s="7">
        <v>2.5</v>
      </c>
      <c r="P11" s="7">
        <v>1.8</v>
      </c>
      <c r="Q11" s="7">
        <v>7</v>
      </c>
      <c r="R11" s="7">
        <v>0.18</v>
      </c>
      <c r="S11" s="5">
        <v>60</v>
      </c>
      <c r="T11" s="10">
        <f>IFERROR(ROUNDUP(기준!$B$5/G11,0),"")</f>
        <v>4</v>
      </c>
      <c r="U11" s="10">
        <f>IFERROR(ROUND(T11*P11,1),"")</f>
        <v>7.2</v>
      </c>
      <c r="V11" s="10">
        <f>IFERROR(ROUNDUP(기준!$B$8/S11,0),"")</f>
        <v>1</v>
      </c>
      <c r="W11" s="6" t="s">
        <v>57</v>
      </c>
    </row>
    <row r="12" spans="1:23" x14ac:dyDescent="0.3">
      <c r="A12" s="7" t="s">
        <v>58</v>
      </c>
      <c r="B12" s="7" t="s">
        <v>59</v>
      </c>
      <c r="C12" s="8" t="s">
        <v>53</v>
      </c>
      <c r="D12" s="8" t="s">
        <v>48</v>
      </c>
      <c r="E12" s="8" t="s">
        <v>49</v>
      </c>
      <c r="F12" s="7">
        <v>180</v>
      </c>
      <c r="G12" s="5">
        <v>50</v>
      </c>
      <c r="H12" s="7">
        <v>30</v>
      </c>
      <c r="I12" s="7">
        <v>4</v>
      </c>
      <c r="J12" s="7">
        <v>0</v>
      </c>
      <c r="K12" s="7">
        <v>20</v>
      </c>
      <c r="L12" s="9">
        <f>F12*K12</f>
        <v>3600</v>
      </c>
      <c r="M12" s="7">
        <v>2</v>
      </c>
      <c r="N12" s="7">
        <v>22</v>
      </c>
      <c r="O12" s="7">
        <v>6</v>
      </c>
      <c r="P12" s="7">
        <v>2.2000000000000002</v>
      </c>
      <c r="Q12" s="7">
        <v>12</v>
      </c>
      <c r="R12" s="7">
        <v>0.25</v>
      </c>
      <c r="S12" s="5">
        <v>500</v>
      </c>
      <c r="T12" s="10">
        <f>IFERROR(ROUNDUP(기준!$B$5/G12,0),"")</f>
        <v>2</v>
      </c>
      <c r="U12" s="10">
        <f>IFERROR(ROUND(T12*P12,1),"")</f>
        <v>4.4000000000000004</v>
      </c>
      <c r="V12" s="10">
        <f>IFERROR(ROUNDUP(기준!$B$8/S12,0),"")</f>
        <v>1</v>
      </c>
      <c r="W12" s="6" t="s">
        <v>60</v>
      </c>
    </row>
    <row r="13" spans="1:23" x14ac:dyDescent="0.3">
      <c r="A13" s="7" t="s">
        <v>61</v>
      </c>
      <c r="B13" s="7" t="s">
        <v>62</v>
      </c>
      <c r="C13" s="8" t="s">
        <v>63</v>
      </c>
      <c r="D13" s="8" t="s">
        <v>43</v>
      </c>
      <c r="E13" s="8" t="s">
        <v>44</v>
      </c>
      <c r="F13" s="7">
        <v>10</v>
      </c>
      <c r="G13" s="5">
        <v>10</v>
      </c>
      <c r="H13" s="7">
        <v>8</v>
      </c>
      <c r="I13" s="7">
        <v>12</v>
      </c>
      <c r="J13" s="7">
        <v>2</v>
      </c>
      <c r="K13" s="7">
        <v>10</v>
      </c>
      <c r="L13" s="9">
        <f>F13*K13</f>
        <v>100</v>
      </c>
      <c r="M13" s="7">
        <v>3</v>
      </c>
      <c r="N13" s="7">
        <v>6</v>
      </c>
      <c r="O13" s="7">
        <v>2</v>
      </c>
      <c r="P13" s="7">
        <v>2.5</v>
      </c>
      <c r="Q13" s="7">
        <v>3</v>
      </c>
      <c r="R13" s="7">
        <v>0.1</v>
      </c>
      <c r="S13" s="5">
        <v>20</v>
      </c>
      <c r="T13" s="10">
        <f>IFERROR(ROUNDUP(기준!$B$5/G13,0),"")</f>
        <v>10</v>
      </c>
      <c r="U13" s="10">
        <f>IFERROR(ROUND(T13*P13,1),"")</f>
        <v>25</v>
      </c>
      <c r="V13" s="10">
        <f>IFERROR(ROUNDUP(기준!$B$8/S13,0),"")</f>
        <v>2</v>
      </c>
      <c r="W13" s="6" t="s">
        <v>64</v>
      </c>
    </row>
    <row r="14" spans="1:23" x14ac:dyDescent="0.3">
      <c r="A14" s="13" t="s">
        <v>85</v>
      </c>
      <c r="B14" s="13" t="s">
        <v>86</v>
      </c>
      <c r="C14" s="8" t="s">
        <v>63</v>
      </c>
      <c r="D14" s="8" t="s">
        <v>46</v>
      </c>
      <c r="E14" s="14" t="s">
        <v>87</v>
      </c>
      <c r="F14" s="7">
        <v>15</v>
      </c>
      <c r="G14" s="5">
        <v>15</v>
      </c>
      <c r="H14" s="7">
        <v>15</v>
      </c>
      <c r="I14" s="7">
        <v>8</v>
      </c>
      <c r="J14" s="7">
        <v>8</v>
      </c>
      <c r="K14" s="7">
        <v>18</v>
      </c>
      <c r="L14" s="9">
        <f>F14*K14</f>
        <v>270</v>
      </c>
      <c r="M14" s="7">
        <v>2</v>
      </c>
      <c r="N14" s="7">
        <v>10</v>
      </c>
      <c r="O14" s="7">
        <v>8</v>
      </c>
      <c r="P14" s="7">
        <v>2.5</v>
      </c>
      <c r="Q14" s="7">
        <v>4</v>
      </c>
      <c r="R14" s="7">
        <v>0.15</v>
      </c>
      <c r="S14" s="5">
        <v>70</v>
      </c>
      <c r="T14" s="10">
        <f>IFERROR(ROUNDUP(기준!$B$5/G14,0),"")</f>
        <v>7</v>
      </c>
      <c r="U14" s="10">
        <f>IFERROR(ROUND(T14*P14,1),"")</f>
        <v>17.5</v>
      </c>
      <c r="V14" s="10">
        <f>IFERROR(ROUNDUP(기준!$B$8/S14,0),"")</f>
        <v>1</v>
      </c>
      <c r="W14" s="6" t="s">
        <v>65</v>
      </c>
    </row>
    <row r="15" spans="1:23" x14ac:dyDescent="0.3">
      <c r="A15" s="7" t="s">
        <v>66</v>
      </c>
      <c r="B15" s="7" t="s">
        <v>67</v>
      </c>
      <c r="C15" s="8" t="s">
        <v>63</v>
      </c>
      <c r="D15" s="8" t="s">
        <v>48</v>
      </c>
      <c r="E15" s="8" t="s">
        <v>49</v>
      </c>
      <c r="F15" s="7">
        <v>100</v>
      </c>
      <c r="G15" s="5">
        <v>25</v>
      </c>
      <c r="H15" s="7">
        <v>20</v>
      </c>
      <c r="I15" s="7">
        <v>10</v>
      </c>
      <c r="J15" s="7">
        <v>20</v>
      </c>
      <c r="K15" s="7">
        <v>20</v>
      </c>
      <c r="L15" s="9">
        <f>F15*K15</f>
        <v>2000</v>
      </c>
      <c r="M15" s="7">
        <v>1.5</v>
      </c>
      <c r="N15" s="7">
        <v>25</v>
      </c>
      <c r="O15" s="7">
        <v>10</v>
      </c>
      <c r="P15" s="7">
        <v>2.5</v>
      </c>
      <c r="Q15" s="7">
        <v>5</v>
      </c>
      <c r="R15" s="7">
        <v>0.25</v>
      </c>
      <c r="S15" s="5">
        <v>500</v>
      </c>
      <c r="T15" s="10">
        <f>IFERROR(ROUNDUP(기준!$B$5/G15,0),"")</f>
        <v>4</v>
      </c>
      <c r="U15" s="10">
        <f>IFERROR(ROUND(T15*P15,1),"")</f>
        <v>10</v>
      </c>
      <c r="V15" s="10">
        <f>IFERROR(ROUNDUP(기준!$B$8/S15,0),"")</f>
        <v>1</v>
      </c>
      <c r="W15" s="6" t="s">
        <v>68</v>
      </c>
    </row>
    <row r="16" spans="1:23" x14ac:dyDescent="0.3">
      <c r="A16" s="11" t="s">
        <v>69</v>
      </c>
    </row>
    <row r="17" spans="1:1" x14ac:dyDescent="0.3">
      <c r="A17" s="2" t="s">
        <v>70</v>
      </c>
    </row>
    <row r="18" spans="1:1" x14ac:dyDescent="0.3">
      <c r="A18" s="2" t="s">
        <v>71</v>
      </c>
    </row>
    <row r="19" spans="1:1" x14ac:dyDescent="0.3">
      <c r="A19" s="2" t="s">
        <v>72</v>
      </c>
    </row>
    <row r="20" spans="1:1" x14ac:dyDescent="0.3">
      <c r="A20" s="2"/>
    </row>
    <row r="21" spans="1:1" x14ac:dyDescent="0.3">
      <c r="A21" s="2" t="s">
        <v>73</v>
      </c>
    </row>
    <row r="22" spans="1:1" x14ac:dyDescent="0.3">
      <c r="A22" s="2" t="s">
        <v>74</v>
      </c>
    </row>
  </sheetData>
  <phoneticPr fontId="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기준</vt:lpstr>
      <vt:lpstr>몬스터 정의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주석 오</cp:lastModifiedBy>
  <dcterms:created xsi:type="dcterms:W3CDTF">2026-08-04T22:15:25Z</dcterms:created>
  <dcterms:modified xsi:type="dcterms:W3CDTF">2026-08-04T22:41:02Z</dcterms:modified>
</cp:coreProperties>
</file>